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2bb01e33e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" sheetId="1" r:id="Rb9f959ab44be4aa1"/>
    <x:sheet xmlns:r="http://schemas.openxmlformats.org/officeDocument/2006/relationships" name="Requisitos" sheetId="2" r:id="R4bb9c416711d485d"/>
    <x:sheet xmlns:r="http://schemas.openxmlformats.org/officeDocument/2006/relationships" name="Casos" sheetId="3" r:id="R074dce02545b4dce"/>
    <x:sheet xmlns:r="http://schemas.openxmlformats.org/officeDocument/2006/relationships" name="Ejecuciones" sheetId="4" r:id="Rec6bb481ccf64fcb"/>
    <x:sheet xmlns:r="http://schemas.openxmlformats.org/officeDocument/2006/relationships" name="Defectos" sheetId="5" r:id="R5c73f1f8e2d2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"/>
    <x:numFmt numFmtId="201" formatCode="0"/>
    <x:numFmt numFmtId="202" formatCode="0%"/>
  </x:numFmts>
  <x:fonts count="8">
    <x:font>
      <x:sz val="11"/>
      <x:name val="Carlito"/>
    </x:font>
    <x:font>
      <x:sz val="11"/>
      <x:color rgb="FF22344D"/>
      <x:name val="Arial"/>
    </x:font>
    <x:font>
      <x:b/>
      <x:sz val="17"/>
      <x:color rgb="FF193967"/>
      <x:name val="Arial"/>
    </x:font>
    <x:font>
      <x:i/>
      <x:sz val="11"/>
      <x:color rgb="FF596779"/>
      <x:name val="Arial"/>
    </x:font>
    <x:font>
      <x:b/>
      <x:sz val="11"/>
      <x:color rgb="FFFFFFFF"/>
      <x:name val="Arial"/>
    </x:font>
    <x:font>
      <x:b/>
      <x:sz val="11"/>
      <x:color rgb="FF22344D"/>
      <x:name val="Arial"/>
    </x:font>
    <x:font>
      <x:b/>
      <x:sz val="11"/>
      <x:color rgb="FFFFFFFF"/>
      <x:name val="Carlito"/>
    </x:font>
    <x:font>
      <x:i/>
      <x:sz val="9"/>
      <x:color rgb="FF7F6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93967"/>
      </x:patternFill>
    </x:fill>
    <x:fill>
      <x:patternFill patternType="solid">
        <x:fgColor rgb="FFF2F5FA"/>
      </x:patternFill>
    </x:fill>
    <x:fill>
      <x:patternFill patternType="solid">
        <x:fgColor rgb="FFFFF3D5"/>
      </x:patternFill>
    </x:fill>
    <x:fill>
      <x:patternFill patternType="solid">
        <x:fgColor rgb="FFEFF2F6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6">
    <x:dxf>
      <x:fill>
        <x:patternFill>
          <x:bgColor rgb="FFFDE3E3"/>
        </x:patternFill>
      </x:fill>
    </x:dxf>
    <x:dxf>
      <x:fill>
        <x:patternFill>
          <x:bgColor rgb="FFFDEAC7"/>
        </x:patternFill>
      </x:fill>
    </x:dxf>
    <x:dxf>
      <x:fill>
        <x:patternFill>
          <x:bgColor rgb="FFE4F2E8"/>
        </x:patternFill>
      </x:fill>
    </x:dxf>
    <x:dxf>
      <x:fill>
        <x:patternFill>
          <x:bgColor rgb="FFFDE3E3"/>
        </x:patternFill>
      </x:fill>
    </x:dxf>
    <x:dxf>
      <x:fill>
        <x:patternFill>
          <x:bgColor rgb="FFFDEAC7"/>
        </x:patternFill>
      </x:fill>
    </x:dxf>
    <x:dxf>
      <x:fill>
        <x:patternFill>
          <x:bgColor rgb="FFE4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e3c31687445ca" /><Relationship Type="http://schemas.openxmlformats.org/officeDocument/2006/relationships/theme" Target="/xl/theme/theme1.xml" Id="R934cccce42464cff" /><Relationship Type="http://schemas.openxmlformats.org/officeDocument/2006/relationships/sharedStrings" Target="/xl/sharedStrings.xml" Id="Rdbd2c6089d6b42d9" /><Relationship Type="http://schemas.openxmlformats.org/officeDocument/2006/relationships/worksheet" Target="/xl/worksheets/sheet1.xml" Id="Rb9f959ab44be4aa1" /><Relationship Type="http://schemas.openxmlformats.org/officeDocument/2006/relationships/worksheet" Target="/xl/worksheets/sheet2.xml" Id="R4bb9c416711d485d" /><Relationship Type="http://schemas.openxmlformats.org/officeDocument/2006/relationships/worksheet" Target="/xl/worksheets/sheet3.xml" Id="R074dce02545b4dce" /><Relationship Type="http://schemas.openxmlformats.org/officeDocument/2006/relationships/worksheet" Target="/xl/worksheets/sheet4.xml" Id="Rec6bb481ccf64fcb" /><Relationship Type="http://schemas.openxmlformats.org/officeDocument/2006/relationships/worksheet" Target="/xl/worksheets/sheet5.xml" Id="R5c73f1f8e2d248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b2a657ce7bc4d5c" /><Relationship Type="http://schemas.openxmlformats.org/officeDocument/2006/relationships/image" Target="/xl/media/image2.png" Id="R31cad3eeef3447ba" /><Relationship Type="http://schemas.openxmlformats.org/officeDocument/2006/relationships/image" Target="/xl/media/image3.png" Id="R103aecd7916e4f07" /></Relationships>
</file>

<file path=xl/drawings/drawing1.xml><?xml version="1.0" encoding="utf-8"?>
<xdr:wsDr xmlns:xdr="http://schemas.openxmlformats.org/drawingml/2006/spreadsheetDrawing">
  <xdr:oneCellAnchor>
    <xdr:from>
      <xdr:col>11</xdr:col>
      <xdr:colOff>0</xdr:colOff>
      <xdr:row>5</xdr:row>
      <xdr:rowOff>0</xdr:rowOff>
    </xdr:from>
    <xdr:ext cx="2857500" cy="1981200"/>
    <xdr:pic>
      <xdr:nvPicPr>
        <xdr:cNvPr id="1" name="ee0e2351-5d4b-4b8c-b5b2-f66ac7f853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2a657ce7bc4d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6</xdr:row>
      <xdr:rowOff>0</xdr:rowOff>
    </xdr:from>
    <xdr:ext cx="2857500" cy="1981200"/>
    <xdr:pic>
      <xdr:nvPicPr>
        <xdr:cNvPr id="2" name="90e840dc-1252-46a2-bd99-60a9892f37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ad3eeef3447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</xdr:row>
      <xdr:rowOff>0</xdr:rowOff>
    </xdr:from>
    <xdr:ext cx="2857500" cy="1981200"/>
    <xdr:pic>
      <xdr:nvPicPr>
        <xdr:cNvPr id="3" name="36c65cc2-7d09-4237-8330-7ced0546c7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3aecd7916e4f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470193afd2247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25" hidden="0" customWidth="1"/>
    <x:col min="4" max="4" width="25" hidden="0" customWidth="1"/>
    <x:col min="5" max="5" width="26" hidden="0" customWidth="1"/>
    <x:col min="6" max="6" width="30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TS-01. Seguimiento de la práctica</x:v>
      </x:c>
      <x:c r="B2" s="2"/>
      <x:c r="C2" s="2"/>
      <x:c r="D2" s="2"/>
      <x:c r="E2" s="2"/>
      <x:c r="F2" s="2"/>
    </x:row>
    <x:row r="3" ht="28" customHeight="1">
      <x:c r="A3" s="4" t="str">
        <x:v>Amarillo: entrada manual. Gris claro: cálculo. Resultados iniciales pendientes de ejecución.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0" customHeight="1">
      <x:c r="A5" s="8" t="str">
        <x:v>Requisito</x:v>
      </x:c>
      <x:c r="B5" s="8" t="str">
        <x:v>Caso</x:v>
      </x:c>
      <x:c r="C5" s="8" t="str">
        <x:v>Resultado v1</x:v>
      </x:c>
      <x:c r="D5" s="8" t="str">
        <x:v>Resultado v2</x:v>
      </x:c>
      <x:c r="E5" s="8" t="str">
        <x:v>Defecto vinculado</x:v>
      </x:c>
      <x:c r="F5" s="8" t="str">
        <x:v>Estado del defecto</x:v>
      </x:c>
    </x:row>
    <x:row r="6" ht="36" customHeight="1">
      <x:c r="A6" s="10" t="str">
        <x:v>RF-01</x:v>
      </x:c>
      <x:c r="B6" s="10" t="str">
        <x:v>CP-01</x:v>
      </x:c>
      <x:c r="C6" s="15" t="str">
        <x:f>'Ejecuciones'!J6</x:f>
        <x:v>No ejecutado</x:v>
      </x:c>
      <x:c r="D6" s="15" t="str">
        <x:f>'Ejecuciones'!J11</x:f>
        <x:v>No ejecutado</x:v>
      </x:c>
      <x:c r="E6" s="15" t="str">
        <x:v>No registrado</x:v>
      </x:c>
      <x:c r="F6" s="15" t="str">
        <x:v>No aplica</x:v>
      </x:c>
    </x:row>
    <x:row r="7" ht="36" customHeight="1">
      <x:c r="A7" s="9" t="str">
        <x:v>RF-02</x:v>
      </x:c>
      <x:c r="B7" s="9" t="str">
        <x:v>CP-02</x:v>
      </x:c>
      <x:c r="C7" s="15" t="str">
        <x:f>'Ejecuciones'!J7</x:f>
        <x:v>No ejecutado</x:v>
      </x:c>
      <x:c r="D7" s="15" t="str">
        <x:f>'Ejecuciones'!J9</x:f>
        <x:v>No ejecutado</x:v>
      </x:c>
      <x:c r="E7" s="15" t="str">
        <x:f>IF('Defectos'!H6="Por registrar","Por registrar",'Defectos'!A6)</x:f>
        <x:v>Por registrar</x:v>
      </x:c>
      <x:c r="F7" s="15" t="str">
        <x:f>'Defectos'!H6</x:f>
        <x:v>Por registrar</x:v>
      </x:c>
    </x:row>
    <x:row r="8" ht="36" customHeight="1">
      <x:c r="A8" s="10" t="str">
        <x:v>RF-03</x:v>
      </x:c>
      <x:c r="B8" s="10" t="str">
        <x:v>CP-03</x:v>
      </x:c>
      <x:c r="C8" s="15" t="str">
        <x:f>'Ejecuciones'!J8</x:f>
        <x:v>No ejecutado</x:v>
      </x:c>
      <x:c r="D8" s="15" t="str">
        <x:f>'Ejecuciones'!J10</x:f>
        <x:v>No ejecutado</x:v>
      </x:c>
      <x:c r="E8" s="15" t="str">
        <x:f>IF('Defectos'!H7="Por registrar","Por registrar",'Defectos'!A7)</x:f>
        <x:v>Por registrar</x:v>
      </x:c>
      <x:c r="F8" s="15" t="str">
        <x:f>'Defectos'!H7</x:f>
        <x:v>Por registrar</x:v>
      </x:c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 ht="30" customHeight="1">
      <x:c r="A11" s="6" t="str">
        <x:v>Indicador</x:v>
      </x:c>
      <x:c r="B11" s="6" t="str">
        <x:v>v1</x:v>
      </x:c>
      <x:c r="C11" s="6" t="str">
        <x:v>v2</x:v>
      </x:c>
      <x:c r="D11" s="2"/>
      <x:c r="E11" s="2"/>
      <x:c r="F11" s="2"/>
    </x:row>
    <x:row r="12" ht="28" customHeight="1">
      <x:c r="A12" s="2" t="str">
        <x:v>Planificados</x:v>
      </x:c>
      <x:c r="B12" s="2" t="n">
        <x:v>3</x:v>
      </x:c>
      <x:c r="C12" s="2" t="n">
        <x:v>3</x:v>
      </x:c>
      <x:c r="D12" s="2"/>
      <x:c r="E12" s="2"/>
      <x:c r="F12" s="2"/>
    </x:row>
    <x:row r="13" ht="28" customHeight="1">
      <x:c r="A13" s="2" t="str">
        <x:v>Aprobados</x:v>
      </x:c>
      <x:c r="B13" s="2" t="n">
        <x:f>COUNTIFS('Ejecuciones'!$C$6:$C$11,"v1",'Ejecuciones'!$J$6:$J$11,"Aprobado")</x:f>
        <x:v>0</x:v>
      </x:c>
      <x:c r="C13" s="2" t="n">
        <x:f>COUNTIFS('Ejecuciones'!$C$6:$C$11,"v2",'Ejecuciones'!$J$6:$J$11,"Aprobado")</x:f>
        <x:v>0</x:v>
      </x:c>
      <x:c r="D13" s="2"/>
      <x:c r="E13" s="2"/>
      <x:c r="F13" s="2"/>
    </x:row>
    <x:row r="14" ht="28" customHeight="1">
      <x:c r="A14" s="2" t="str">
        <x:v>Fallidos</x:v>
      </x:c>
      <x:c r="B14" s="2" t="n">
        <x:f>COUNTIFS('Ejecuciones'!$C$6:$C$11,"v1",'Ejecuciones'!$J$6:$J$11,"Fallido")</x:f>
        <x:v>0</x:v>
      </x:c>
      <x:c r="C14" s="2" t="n">
        <x:f>COUNTIFS('Ejecuciones'!$C$6:$C$11,"v2",'Ejecuciones'!$J$6:$J$11,"Fallido")</x:f>
        <x:v>0</x:v>
      </x:c>
      <x:c r="D14" s="2"/>
      <x:c r="E14" s="2"/>
      <x:c r="F14" s="2"/>
    </x:row>
    <x:row r="15" ht="28" customHeight="1">
      <x:c r="A15" s="2" t="str">
        <x:v>Bloqueados</x:v>
      </x:c>
      <x:c r="B15" s="2" t="n">
        <x:f>COUNTIFS('Ejecuciones'!$C$6:$C$11,"v1",'Ejecuciones'!$J$6:$J$11,"Bloqueado")</x:f>
        <x:v>0</x:v>
      </x:c>
      <x:c r="C15" s="2" t="n">
        <x:f>COUNTIFS('Ejecuciones'!$C$6:$C$11,"v2",'Ejecuciones'!$J$6:$J$11,"Bloqueado")</x:f>
        <x:v>0</x:v>
      </x:c>
      <x:c r="D15" s="2"/>
      <x:c r="E15" s="2"/>
      <x:c r="F15" s="2"/>
    </x:row>
    <x:row r="16" ht="28" customHeight="1">
      <x:c r="A16" t="str">
        <x:v>No ejecutados</x:v>
      </x:c>
      <x:c r="B16" t="n">
        <x:f>COUNTIFS('Ejecuciones'!$C$6:$C$11,"v1",'Ejecuciones'!$J$6:$J$11,"No ejecutado")</x:f>
        <x:v>3</x:v>
      </x:c>
      <x:c r="C16" t="n">
        <x:f>COUNTIFS('Ejecuciones'!$C$6:$C$11,"v2",'Ejecuciones'!$J$6:$J$11,"No ejecutado")</x:f>
        <x:v>3</x:v>
      </x:c>
    </x:row>
    <x:row r="17" ht="28" customHeight="1">
      <x:c r="A17" t="str">
        <x:v>Aprobados / total</x:v>
      </x:c>
      <x:c r="B17" s="16" t="str">
        <x:f>IF(B16=B12,"Pendiente",B13/B12)</x:f>
        <x:v>Pendiente</x:v>
      </x:c>
      <x:c r="C17" s="16" t="str">
        <x:f>IF(C16=C12,"Pendiente",C13/C12)</x:f>
        <x:v>Pendiente</x:v>
      </x:c>
    </x:row>
    <x:row r="19">
      <x:c r="A19" t="str">
        <x:v>El porcentaje usa los 3 casos planificados de cada versión; no representa cobertura total del sistema.</x:v>
      </x:c>
    </x:row>
    <x:row r="20">
      <x:c r="A20" t="str">
        <x:v>1. Consulte Requisitos y Casos. 2. Registre Ejecuciones. 3. Documente Defectos y vínculos.</x:v>
      </x:c>
    </x:row>
    <x:row r="21">
      <x:c r="A21" t="str">
        <x:v>Las fórmulas resumen las seis ejecuciones previstas. El Excel no se sincroniza con GitHub.</x:v>
      </x:c>
    </x:row>
  </x:sheetData>
  <x:conditionalFormatting sqref="C6:D8">
    <x:cfRule type="containsText" dxfId="3" priority="1" operator="containsText" text="Fallido"/>
    <x:cfRule type="containsText" dxfId="4" priority="2" operator="containsText" text="Bloqueado"/>
    <x:cfRule type="containsText" dxfId="5" priority="3" operator="containsText" text="Aprobad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0" hidden="0" customWidth="1"/>
    <x:col min="4" max="4" width="44" hidden="0" customWidth="1"/>
    <x:col min="5" max="5" width="49" hidden="0" customWidth="1"/>
    <x:col min="6" max="6" width="40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Requisitos del registro</x:v>
      </x:c>
      <x:c r="B2" s="2"/>
      <x:c r="C2" s="2"/>
      <x:c r="D2" s="2"/>
      <x:c r="E2" s="2"/>
      <x:c r="F2" s="2"/>
    </x:row>
    <x:row r="3" ht="28" customHeight="1">
      <x:c r="A3" s="4" t="str">
        <x:v>Fuente: escenario académico acordado para la clase 3. Regla de ocho caracteres propia del ejercicio.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0" customHeight="1">
      <x:c r="A5" s="8" t="str">
        <x:v>ID</x:v>
      </x:c>
      <x:c r="B5" s="8" t="str">
        <x:v>Nombre</x:v>
      </x:c>
      <x:c r="C5" s="8" t="str">
        <x:v>Regla funcional</x:v>
      </x:c>
      <x:c r="D5" s="8" t="str">
        <x:v>Condición de aceptación</x:v>
      </x:c>
      <x:c r="E5" s="8" t="str">
        <x:v>Resultado esperado</x:v>
      </x:c>
      <x:c r="F5" s="8" t="str">
        <x:v>Datos de referencia</x:v>
      </x:c>
    </x:row>
    <x:row r="6" ht="90" customHeight="1">
      <x:c r="A6" s="10" t="str">
        <x:v>RF-01</x:v>
      </x:c>
      <x:c r="B6" s="10" t="str">
        <x:v>Registro válido</x:v>
      </x:c>
      <x:c r="C6" s="10" t="str">
        <x:v>Permitir registro con nombre, correo y contraseña válidos.</x:v>
      </x:c>
      <x:c r="D6" s="10" t="str">
        <x:v>Desde 0 registros, enviar Ana, correo válido y contraseña de 8 caracteres.</x:v>
      </x:c>
      <x:c r="E6" s="10" t="str">
        <x:v>Registro exitoso. Cuenta: Sí. Total: 1.</x:v>
      </x:c>
      <x:c r="F6" s="10" t="str">
        <x:v>Ana / ana@example.com / Abcd1234</x:v>
      </x:c>
    </x:row>
    <x:row r="7" ht="90" customHeight="1">
      <x:c r="A7" s="9" t="str">
        <x:v>RF-02</x:v>
      </x:c>
      <x:c r="B7" s="9" t="str">
        <x:v>Correo obligatorio</x:v>
      </x:c>
      <x:c r="C7" s="9" t="str">
        <x:v>Impedir registro con correo vacío.</x:v>
      </x:c>
      <x:c r="D7" s="9" t="str">
        <x:v>Desde 0 registros, enviar nombre y contraseña válidos, sin correo.</x:v>
      </x:c>
      <x:c r="E7" s="9" t="str">
        <x:v>El correo es obligatorio. Cuenta: No. Total: 0.</x:v>
      </x:c>
      <x:c r="F7" s="9" t="str">
        <x:v>Ana / correo vacío / Abcd1234</x:v>
      </x:c>
    </x:row>
    <x:row r="8" ht="90" customHeight="1">
      <x:c r="A8" s="10" t="str">
        <x:v>RF-03</x:v>
      </x:c>
      <x:c r="B8" s="10" t="str">
        <x:v>Longitud de contraseña</x:v>
      </x:c>
      <x:c r="C8" s="10" t="str">
        <x:v>Exigir al menos 8 caracteres.</x:v>
      </x:c>
      <x:c r="D8" s="10" t="str">
        <x:v>Desde 0 registros, enviar nombre y correo válidos con contraseña de 7 caracteres.</x:v>
      </x:c>
      <x:c r="E8" s="10" t="str">
        <x:v>La contraseña debe tener al menos 8 caracteres. Cuenta: No. Total: 0.</x:v>
      </x:c>
      <x:c r="F8" s="10" t="str">
        <x:v>Ana / ana@example.com / Abcd123</x:v>
      </x:c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11" t="str">
        <x:v>Alcance</x:v>
      </x:c>
      <x:c r="B11" s="2"/>
      <x:c r="C11" s="2"/>
      <x:c r="D11" s="2"/>
      <x:c r="E11" s="2"/>
      <x:c r="F11" s="2"/>
    </x:row>
    <x:row r="12">
      <x:c r="A12" s="2" t="str">
        <x:v>Antes de cada caso: Reiniciar prueba. Sin cuentas previas. Simulación académica.</x:v>
      </x:c>
      <x:c r="B12" s="2"/>
      <x:c r="C12" s="2"/>
      <x:c r="D12" s="2"/>
      <x:c r="E12" s="2"/>
      <x:c r="F12" s="2"/>
    </x:row>
    <x:row r="13">
      <x:c r="A13" s="2" t="str">
        <x:v>Fuera de alcance: duplicados, autenticación y formato inválido del correo.</x:v>
      </x:c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4" hidden="0" customWidth="1"/>
    <x:col min="5" max="5" width="38" hidden="0" customWidth="1"/>
    <x:col min="6" max="6" width="14" hidden="0" customWidth="1"/>
    <x:col min="7" max="7" width="28" hidden="0" customWidth="1"/>
    <x:col min="8" max="8" width="24" hidden="0" customWidth="1"/>
    <x:col min="9" max="9" width="61" hidden="0" customWidth="1"/>
    <x:col min="10" max="10" width="49" hidden="0" customWidth="1"/>
    <x:col min="11" max="11" width="40" hidden="0" customWidth="1"/>
    <x:col min="12" max="12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Casos de prueba de TS-01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54" t="str">
        <x:v>Capturas = resultado esperado con v2 corregida. La v1 original y los fallos reales de CP-02/CP-03 están documentados en el ZIP. Pegue las URL reales de GitHub en las celdas amarillas después de publicar cada Issue.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4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0" customHeight="1">
      <x:c r="A5" s="8" t="str">
        <x:v>Caso</x:v>
      </x:c>
      <x:c r="B5" s="8" t="str">
        <x:v>Requisito</x:v>
      </x:c>
      <x:c r="C5" s="8" t="str">
        <x:v>Título</x:v>
      </x:c>
      <x:c r="D5" s="8" t="str">
        <x:v>Tipo</x:v>
      </x:c>
      <x:c r="E5" s="8" t="str">
        <x:v>Precondición</x:v>
      </x:c>
      <x:c r="F5" s="8" t="str">
        <x:v>Nombre</x:v>
      </x:c>
      <x:c r="G5" s="8" t="str">
        <x:v>Correo</x:v>
      </x:c>
      <x:c r="H5" s="8" t="str">
        <x:v>Contraseña ficticia</x:v>
      </x:c>
      <x:c r="I5" s="8" t="str">
        <x:v>Pasos</x:v>
      </x:c>
      <x:c r="J5" s="8" t="str">
        <x:v>Resultado esperado</x:v>
      </x:c>
      <x:c r="K5" s="8" t="str">
        <x:v>Enlace GitHub</x:v>
      </x:c>
      <x:c r="L5" s="38" t="str">
        <x:v>Evidencia de ejecución (resultado esperado v2)</x:v>
      </x:c>
    </x:row>
    <x:row r="6" ht="160" customHeight="1">
      <x:c r="A6" s="10" t="str">
        <x:v>CP-01</x:v>
      </x:c>
      <x:c r="B6" s="10" t="str">
        <x:v>RF-01</x:v>
      </x:c>
      <x:c r="C6" s="10" t="str">
        <x:v>Registro con datos válidos</x:v>
      </x:c>
      <x:c r="D6" s="10" t="str">
        <x:v>Positivo</x:v>
      </x:c>
      <x:c r="E6" s="10" t="str">
        <x:v>Formulario abierto; versión identificada; Reiniciar prueba; total 0.</x:v>
      </x:c>
      <x:c r="F6" s="10" t="str">
        <x:v>Ana</x:v>
      </x:c>
      <x:c r="G6" s="10" t="str">
        <x:v>ana@example.com</x:v>
      </x:c>
      <x:c r="H6" s="10" t="str">
        <x:v>Abcd1234</x:v>
      </x:c>
      <x:c r="I6" s="10" t="str">
        <x:v>1. Pulsar Reiniciar prueba y comprobar 0 registros.
2. Escribir Ana en Nombre.
3. Escribir ana@example.com en Correo electrónico.
4. Escribir Abcd1234 en Contraseña de práctica.
5. Pulsar Registrarse.
6. Revisar el mensaje y el panel de resultados.</x:v>
      </x:c>
      <x:c r="J6" s="10" t="str">
        <x:v>Estado: Registro exitoso (verde). Cuenta creada en este intento: Sí. Registros temporales actuales: 1. Último registro temporal: Cuenta 1 · Ana · ana@example.com.</x:v>
      </x:c>
      <x:c r="K6" s="48" t="str">
        <x:v>PENDIENTE: publicar Issue CP-01 y pegar URL real</x:v>
      </x:c>
      <x:c r="L6" s="44"/>
    </x:row>
    <x:row r="7" ht="160" customHeight="1">
      <x:c r="A7" s="9" t="str">
        <x:v>CP-02</x:v>
      </x:c>
      <x:c r="B7" s="9" t="str">
        <x:v>RF-02</x:v>
      </x:c>
      <x:c r="C7" s="9" t="str">
        <x:v>Rechazar registro con correo vacío</x:v>
      </x:c>
      <x:c r="D7" s="9" t="str">
        <x:v>Negativo</x:v>
      </x:c>
      <x:c r="E7" s="9" t="str">
        <x:v>Formulario abierto; versión identificada; Reiniciar prueba; total 0.</x:v>
      </x:c>
      <x:c r="F7" s="9" t="str">
        <x:v>Ana</x:v>
      </x:c>
      <x:c r="G7" s="9" t="str">
        <x:v>Vacío (sin espacios)</x:v>
      </x:c>
      <x:c r="H7" s="9" t="str">
        <x:v>Abcd1234</x:v>
      </x:c>
      <x:c r="I7" s="9" t="str">
        <x:v>1. Pulsar Reiniciar prueba y comprobar 0 registros.
2. Escribir Ana en Nombre.
3. Dejar Correo electrónico vacío, sin espacios.
4. Escribir Abcd1234 en Contraseña de práctica.
5. Pulsar Registrarse.
6. Revisar el mensaje y el panel de resultados.</x:v>
      </x:c>
      <x:c r="J7" s="9" t="str">
        <x:v>Estado/error visible: El correo es obligatorio. Cuenta creada en este intento: No. Registros temporales actuales: 0. Último registro temporal: Ninguno.</x:v>
      </x:c>
      <x:c r="K7" s="48" t="str">
        <x:v>PENDIENTE: publicar Issue CP-02 y pegar URL real</x:v>
      </x:c>
      <x:c r="L7" s="44"/>
    </x:row>
    <x:row r="8" ht="160" customHeight="1">
      <x:c r="A8" s="10" t="str">
        <x:v>CP-03</x:v>
      </x:c>
      <x:c r="B8" s="10" t="str">
        <x:v>RF-03</x:v>
      </x:c>
      <x:c r="C8" s="10" t="str">
        <x:v>Rechazar contraseña de siete caracteres</x:v>
      </x:c>
      <x:c r="D8" s="10" t="str">
        <x:v>Negativo / valor límite</x:v>
      </x:c>
      <x:c r="E8" s="10" t="str">
        <x:v>Formulario abierto; versión identificada; Reiniciar prueba; total 0.</x:v>
      </x:c>
      <x:c r="F8" s="10" t="str">
        <x:v>Ana</x:v>
      </x:c>
      <x:c r="G8" s="10" t="str">
        <x:v>ana@example.com</x:v>
      </x:c>
      <x:c r="H8" s="10" t="str">
        <x:v>Abcd123</x:v>
      </x:c>
      <x:c r="I8" s="10" t="str">
        <x:v>1. Pulsar Reiniciar prueba y comprobar 0 registros.
2. Escribir Ana en Nombre.
3. Escribir ana@example.com en Correo electrónico.
4. Escribir Abcd123 en Contraseña de práctica.
5. Pulsar Registrarse.
6. Revisar el mensaje y el panel de resultados.</x:v>
      </x:c>
      <x:c r="J8" s="10" t="str">
        <x:v>Estado/error visible: La contraseña debe tener al menos 8 caracteres. Contraseña de prueba: Abcd123 (7 caracteres). Cuenta creada en este intento: No. Registros temporales actuales: 0. Último registro temporal: Ninguno.</x:v>
      </x:c>
      <x:c r="K8" s="48" t="str">
        <x:v>PENDIENTE: publicar Issue CP-03 y pegar URL real</x:v>
      </x:c>
      <x:c r="L8" s="44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</x:sheetData>
  <x:pageMargins left="0.7" right="0.7" top="0.75" bottom="0.75" header="0.3" footer="0.3"/>
  <x:drawing xmlns:r="http://schemas.openxmlformats.org/officeDocument/2006/relationships" r:id="Rd470193afd2247aa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2" hidden="0" customWidth="1"/>
    <x:col min="4" max="4" width="23" hidden="0" customWidth="1"/>
    <x:col min="5" max="5" width="23" hidden="0" customWidth="1"/>
    <x:col min="6" max="6" width="42" hidden="0" customWidth="1"/>
    <x:col min="7" max="7" width="52" hidden="0" customWidth="1"/>
    <x:col min="8" max="8" width="18" hidden="0" customWidth="1"/>
    <x:col min="9" max="9" width="18" hidden="0" customWidth="1"/>
    <x:col min="10" max="10" width="22" hidden="0" customWidth="1"/>
    <x:col min="11" max="11" width="42" hidden="0" customWidth="1"/>
    <x:col min="12" max="12" width="36" hidden="0" customWidth="1"/>
    <x:col min="13" max="13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Registro de ejecuciones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8" customHeight="1">
      <x:c r="A3" s="4" t="str">
        <x:v>Complete las celdas amarillas durante la clase. Cada fila corresponde a un intento real.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0" customHeight="1">
      <x:c r="A5" s="8" t="str">
        <x:v>Ejecución</x:v>
      </x:c>
      <x:c r="B5" s="8" t="str">
        <x:v>Caso</x:v>
      </x:c>
      <x:c r="C5" s="8" t="str">
        <x:v>Versión</x:v>
      </x:c>
      <x:c r="D5" s="8" t="str">
        <x:v>Tipo</x:v>
      </x:c>
      <x:c r="E5" s="8" t="str">
        <x:v>Fecha y hora</x:v>
      </x:c>
      <x:c r="F5" s="8" t="str">
        <x:v>Sistema operativo / navegador y versión</x:v>
      </x:c>
      <x:c r="G5" s="8" t="str">
        <x:v>Mensaje observado</x:v>
      </x:c>
      <x:c r="H5" s="8" t="str">
        <x:v>Cuenta creada</x:v>
      </x:c>
      <x:c r="I5" s="8" t="str">
        <x:v>Total registros</x:v>
      </x:c>
      <x:c r="J5" s="8" t="str">
        <x:v>Estado</x:v>
      </x:c>
      <x:c r="K5" s="8" t="str">
        <x:v>Archivo o enlace de evidencia</x:v>
      </x:c>
      <x:c r="L5" s="8" t="str">
        <x:v>Defecto / enlace</x:v>
      </x:c>
      <x:c r="M5" s="8" t="str">
        <x:v>Ejecutor</x:v>
      </x:c>
    </x:row>
    <x:row r="6" ht="70" customHeight="1">
      <x:c r="A6" s="10" t="str">
        <x:v>E-01</x:v>
      </x:c>
      <x:c r="B6" s="10" t="str">
        <x:v>CP-01</x:v>
      </x:c>
      <x:c r="C6" s="10" t="str">
        <x:v>v1</x:v>
      </x:c>
      <x:c r="D6" s="10" t="str">
        <x:v>Inicial</x:v>
      </x:c>
      <x:c r="E6" s="13" t="str"/>
      <x:c r="F6" s="12" t="str"/>
      <x:c r="G6" s="12" t="str"/>
      <x:c r="H6" s="12" t="str"/>
      <x:c r="I6" s="14" t="str"/>
      <x:c r="J6" s="12" t="str">
        <x:v>No ejecutado</x:v>
      </x:c>
      <x:c r="K6" s="12" t="str"/>
      <x:c r="L6" s="12" t="str"/>
      <x:c r="M6" s="12" t="str"/>
    </x:row>
    <x:row r="7" ht="70" customHeight="1">
      <x:c r="A7" s="9" t="str">
        <x:v>E-02</x:v>
      </x:c>
      <x:c r="B7" s="9" t="str">
        <x:v>CP-02</x:v>
      </x:c>
      <x:c r="C7" s="9" t="str">
        <x:v>v1</x:v>
      </x:c>
      <x:c r="D7" s="9" t="str">
        <x:v>Inicial</x:v>
      </x:c>
      <x:c r="E7" s="13" t="str"/>
      <x:c r="F7" s="12" t="str"/>
      <x:c r="G7" s="12" t="str"/>
      <x:c r="H7" s="12" t="str"/>
      <x:c r="I7" s="14" t="str"/>
      <x:c r="J7" s="12" t="str">
        <x:v>No ejecutado</x:v>
      </x:c>
      <x:c r="K7" s="12" t="str"/>
      <x:c r="L7" s="12" t="str"/>
      <x:c r="M7" s="12" t="str"/>
    </x:row>
    <x:row r="8" ht="70" customHeight="1">
      <x:c r="A8" s="10" t="str">
        <x:v>E-03</x:v>
      </x:c>
      <x:c r="B8" s="10" t="str">
        <x:v>CP-03</x:v>
      </x:c>
      <x:c r="C8" s="10" t="str">
        <x:v>v1</x:v>
      </x:c>
      <x:c r="D8" s="10" t="str">
        <x:v>Inicial</x:v>
      </x:c>
      <x:c r="E8" s="13" t="str"/>
      <x:c r="F8" s="12" t="str"/>
      <x:c r="G8" s="12" t="str"/>
      <x:c r="H8" s="12" t="str"/>
      <x:c r="I8" s="14" t="str"/>
      <x:c r="J8" s="12" t="str">
        <x:v>No ejecutado</x:v>
      </x:c>
      <x:c r="K8" s="12" t="str"/>
      <x:c r="L8" s="12" t="str"/>
      <x:c r="M8" s="12" t="str"/>
    </x:row>
    <x:row r="9" ht="70" customHeight="1">
      <x:c r="A9" s="9" t="str">
        <x:v>E-04</x:v>
      </x:c>
      <x:c r="B9" s="9" t="str">
        <x:v>CP-02</x:v>
      </x:c>
      <x:c r="C9" s="9" t="str">
        <x:v>v2</x:v>
      </x:c>
      <x:c r="D9" s="9" t="str">
        <x:v>Confirmación</x:v>
      </x:c>
      <x:c r="E9" s="13" t="str"/>
      <x:c r="F9" s="12" t="str"/>
      <x:c r="G9" s="12" t="str"/>
      <x:c r="H9" s="12" t="str"/>
      <x:c r="I9" s="14" t="str"/>
      <x:c r="J9" s="12" t="str">
        <x:v>No ejecutado</x:v>
      </x:c>
      <x:c r="K9" s="12" t="str"/>
      <x:c r="L9" s="12" t="str"/>
      <x:c r="M9" s="12" t="str"/>
    </x:row>
    <x:row r="10" ht="70" customHeight="1">
      <x:c r="A10" s="10" t="str">
        <x:v>E-05</x:v>
      </x:c>
      <x:c r="B10" s="10" t="str">
        <x:v>CP-03</x:v>
      </x:c>
      <x:c r="C10" s="10" t="str">
        <x:v>v2</x:v>
      </x:c>
      <x:c r="D10" s="10" t="str">
        <x:v>Confirmación</x:v>
      </x:c>
      <x:c r="E10" s="13" t="str"/>
      <x:c r="F10" s="12" t="str"/>
      <x:c r="G10" s="12" t="str"/>
      <x:c r="H10" s="12" t="str"/>
      <x:c r="I10" s="14" t="str"/>
      <x:c r="J10" s="12" t="str">
        <x:v>No ejecutado</x:v>
      </x:c>
      <x:c r="K10" s="12" t="str"/>
      <x:c r="L10" s="12" t="str"/>
      <x:c r="M10" s="12" t="str"/>
    </x:row>
    <x:row r="11" ht="70" customHeight="1">
      <x:c r="A11" s="9" t="str">
        <x:v>E-06</x:v>
      </x:c>
      <x:c r="B11" s="9" t="str">
        <x:v>CP-01</x:v>
      </x:c>
      <x:c r="C11" s="9" t="str">
        <x:v>v2</x:v>
      </x:c>
      <x:c r="D11" s="9" t="str">
        <x:v>Regresión básica</x:v>
      </x:c>
      <x:c r="E11" s="13" t="str"/>
      <x:c r="F11" s="12" t="str"/>
      <x:c r="G11" s="12" t="str"/>
      <x:c r="H11" s="12" t="str"/>
      <x:c r="I11" s="14" t="str"/>
      <x:c r="J11" s="12" t="str">
        <x:v>No ejecutado</x:v>
      </x:c>
      <x:c r="K11" s="12" t="str"/>
      <x:c r="L11" s="12" t="str"/>
      <x:c r="M11" s="12" t="str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2" t="str">
        <x:v>Contexto: simulación académica. Adjunte capturas reales en GitHub antes de cambiar de caso.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 t="str">
        <x:v>La fecha puede ingresarse como fecha y hora de Excel. Las seis filas están reservadas para esta sesión.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</x:sheetData>
  <x:conditionalFormatting sqref="J6:J11">
    <x:cfRule type="containsText" dxfId="0" priority="1" operator="containsText" text="Fallido"/>
    <x:cfRule type="containsText" dxfId="1" priority="2" operator="containsText" text="Bloqueado"/>
    <x:cfRule type="containsText" dxfId="2" priority="3" operator="containsText" text="Aprobado"/>
  </x:conditionalFormatting>
  <x:dataValidations count="2">
    <x:dataValidation type="list" sqref="H6:H11">
      <x:formula1>"Sí,No"</x:formula1>
    </x:dataValidation>
    <x:dataValidation type="list" sqref="J6:J11">
      <x:formula1>"No ejecutado,Aprobado,Fallido,Bloqueado"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52" hidden="0" customWidth="1"/>
    <x:col min="5" max="5" width="20" hidden="0" customWidth="1"/>
    <x:col min="6" max="6" width="20" hidden="0" customWidth="1"/>
    <x:col min="7" max="7" width="53" hidden="0" customWidth="1"/>
    <x:col min="8" max="8" width="27" hidden="0" customWidth="1"/>
    <x:col min="9" max="9" width="40" hidden="0" customWidth="1"/>
    <x:col min="10" max="10" width="40" hidden="0" customWidth="1"/>
    <x:col min="11" max="1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Registro de defectos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4" t="str">
        <x:v>Complete después de reproducir el problema. Justifique impacto y urgencia por separado.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0" customHeight="1">
      <x:c r="A5" s="8" t="str">
        <x:v>Defecto</x:v>
      </x:c>
      <x:c r="B5" s="8" t="str">
        <x:v>Requisito</x:v>
      </x:c>
      <x:c r="C5" s="8" t="str">
        <x:v>Caso</x:v>
      </x:c>
      <x:c r="D5" s="8" t="str">
        <x:v>Título / resultado observado</x:v>
      </x:c>
      <x:c r="E5" s="8" t="str">
        <x:v>Severidad</x:v>
      </x:c>
      <x:c r="F5" s="8" t="str">
        <x:v>Prioridad</x:v>
      </x:c>
      <x:c r="G5" s="8" t="str">
        <x:v>Justificación</x:v>
      </x:c>
      <x:c r="H5" s="8" t="str">
        <x:v>Estado</x:v>
      </x:c>
      <x:c r="I5" s="8" t="str">
        <x:v>Enlace GitHub</x:v>
      </x:c>
      <x:c r="J5" s="8" t="str">
        <x:v>Evidencia detección</x:v>
      </x:c>
      <x:c r="K5" s="8" t="str">
        <x:v>Verificación / evidencia</x:v>
      </x:c>
    </x:row>
    <x:row r="6" ht="100" customHeight="1">
      <x:c r="A6" s="10" t="str">
        <x:v>BUG-01</x:v>
      </x:c>
      <x:c r="B6" s="10" t="str">
        <x:v>RF-02</x:v>
      </x:c>
      <x:c r="C6" s="10" t="str">
        <x:v>CP-02</x:v>
      </x:c>
      <x:c r="D6" s="12" t="str"/>
      <x:c r="E6" s="12" t="str"/>
      <x:c r="F6" s="12" t="str"/>
      <x:c r="G6" s="12" t="str"/>
      <x:c r="H6" s="12" t="str">
        <x:v>Por registrar</x:v>
      </x:c>
      <x:c r="I6" s="12" t="str"/>
      <x:c r="J6" s="12" t="str"/>
      <x:c r="K6" s="12" t="str"/>
    </x:row>
    <x:row r="7" ht="100" customHeight="1">
      <x:c r="A7" s="9" t="str">
        <x:v>BUG-02</x:v>
      </x:c>
      <x:c r="B7" s="9" t="str">
        <x:v>RF-03</x:v>
      </x:c>
      <x:c r="C7" s="9" t="str">
        <x:v>CP-03</x:v>
      </x:c>
      <x:c r="D7" s="12" t="str"/>
      <x:c r="E7" s="12" t="str"/>
      <x:c r="F7" s="12" t="str"/>
      <x:c r="G7" s="12" t="str"/>
      <x:c r="H7" s="12" t="str">
        <x:v>Por registrar</x:v>
      </x:c>
      <x:c r="I7" s="12" t="str"/>
      <x:c r="J7" s="12" t="str"/>
      <x:c r="K7" s="12" t="str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2" t="str">
        <x:v>Severidad = impacto. Prioridad = urgencia. Un defecto se cierra como corregido después de verificarlo.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</x:sheetData>
  <x:dataValidations count="3">
    <x:dataValidation type="list" sqref="E6:E7">
      <x:formula1>"Crítica,Alta,Media,Baja"</x:formula1>
    </x:dataValidation>
    <x:dataValidation type="list" sqref="F6:F7">
      <x:formula1>"Alta,Media,Baja"</x:formula1>
    </x:dataValidation>
    <x:dataValidation type="list" sqref="H6:H7">
      <x:formula1>"Por registrar,Abierto,En corrección,Pendiente de validación,Verificado y cerrado,Reabierto"</x:formula1>
    </x:dataValidation>
  </x:dataValidations>
  <x:pageMargins left="0.7" right="0.7" top="0.75" bottom="0.75" header="0.3" footer="0.3"/>
</x:worksheet>
</file>